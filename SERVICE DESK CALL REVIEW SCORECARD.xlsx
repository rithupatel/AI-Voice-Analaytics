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trat-my.sharepoint.com/personal/sjayanna_microstrat_com/Documents/Desktop/Score card/"/>
    </mc:Choice>
  </mc:AlternateContent>
  <xr:revisionPtr revIDLastSave="0" documentId="8_{67574F3D-7797-403F-A3E9-C20A3B7A702A}" xr6:coauthVersionLast="47" xr6:coauthVersionMax="47" xr10:uidLastSave="{00000000-0000-0000-0000-000000000000}"/>
  <bookViews>
    <workbookView xWindow="-108" yWindow="-108" windowWidth="23256" windowHeight="12456" xr2:uid="{8D496F34-3345-4CA9-906E-FE36EC49D66A}"/>
  </bookViews>
  <sheets>
    <sheet name="Call Review 3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9" i="1"/>
</calcChain>
</file>

<file path=xl/sharedStrings.xml><?xml version="1.0" encoding="utf-8"?>
<sst xmlns="http://schemas.openxmlformats.org/spreadsheetml/2006/main" count="53" uniqueCount="37">
  <si>
    <t>If the ticket is escalated to higher level, then KB creation field to be set as "NA"</t>
  </si>
  <si>
    <r>
      <t xml:space="preserve">Disclaimer for Remote Access:
</t>
    </r>
    <r>
      <rPr>
        <b/>
        <i/>
        <u/>
        <sz val="11"/>
        <color theme="1"/>
        <rFont val="Calibri"/>
        <family val="2"/>
        <scheme val="minor"/>
      </rPr>
      <t>Good practice of giving disclaimer before taking the remote to customer system.</t>
    </r>
    <r>
      <rPr>
        <sz val="11"/>
        <color theme="1"/>
        <rFont val="Calibri"/>
        <family val="2"/>
        <scheme val="minor"/>
      </rPr>
      <t xml:space="preserve"> 
***As I need to take remote access to your system for further troubleshooting, please save and close all confidential files or documents***</t>
    </r>
  </si>
  <si>
    <t xml:space="preserve">Area's of improvement for this call:
</t>
  </si>
  <si>
    <t>Technical/Reviewer feedback:</t>
  </si>
  <si>
    <t>Average Score</t>
  </si>
  <si>
    <t>FEEDBACK</t>
  </si>
  <si>
    <t>Yes</t>
  </si>
  <si>
    <t>Minimal Transfers/Hold Time (2%)</t>
  </si>
  <si>
    <t>30 minute rule (3%) -if applicable</t>
  </si>
  <si>
    <t>First Call Resolution (5%)</t>
  </si>
  <si>
    <t>5. Efficiency Metrics (10%)</t>
  </si>
  <si>
    <t>Proper Closing &amp; Confirmation of Satisfaction (5%)</t>
  </si>
  <si>
    <t>Communication to EU/Admin/stakeholders within timeline(10%)</t>
  </si>
  <si>
    <t>Ownership of Incident (5%)</t>
  </si>
  <si>
    <t>4. Customer Experience (15%)</t>
  </si>
  <si>
    <t>Time entry &amp; Agreement (5%)</t>
  </si>
  <si>
    <t>Ticket Documentation &amp; category selection (10%)</t>
  </si>
  <si>
    <t>Critical/P1 Compliance (5%)</t>
  </si>
  <si>
    <t>3. Process Adherence (20%)</t>
  </si>
  <si>
    <t>Use of Knowledge Base (5%) - currently due to tool limitation this will be NA.</t>
  </si>
  <si>
    <t>Valid Escalation (5%)</t>
  </si>
  <si>
    <t>Accuracy of Solution Provided (10%)(Ticket should not be reopened)</t>
  </si>
  <si>
    <t>Accurate troubleshooting of Issue (10%)</t>
  </si>
  <si>
    <t>2. Technical Accuracy &amp; Resolution (30%)</t>
  </si>
  <si>
    <t>Validating Priority of the issue (5%)</t>
  </si>
  <si>
    <t>Probing the issue (5%)</t>
  </si>
  <si>
    <t>Active Listening and Empathy (5%)</t>
  </si>
  <si>
    <t>Greeting &amp; Customer Verification  (5%)</t>
  </si>
  <si>
    <t>1. Communication &amp; Professionalism (20%)</t>
  </si>
  <si>
    <t>Ticket Number:</t>
  </si>
  <si>
    <t xml:space="preserve">Reviewer:  </t>
  </si>
  <si>
    <t xml:space="preserve">Date of Review: </t>
  </si>
  <si>
    <t>Additional Comments</t>
  </si>
  <si>
    <t>Score</t>
  </si>
  <si>
    <t>Weightage 100%</t>
  </si>
  <si>
    <t xml:space="preserve">Service Desk Analyst Name: </t>
  </si>
  <si>
    <t>SERVICE DESK CALL REVIEW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</si>
</sst>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9" fontId="0" fillId="0" borderId="1" xfId="0" applyNumberFormat="1" applyBorder="1"/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9" fontId="4" fillId="2" borderId="0" xfId="0" applyNumberFormat="1" applyFont="1" applyFill="1" applyAlignment="1">
      <alignment horizontal="left"/>
    </xf>
    <xf numFmtId="0" fontId="4" fillId="2" borderId="6" xfId="0" applyFont="1" applyFill="1" applyBorder="1" applyAlignment="1">
      <alignment horizontal="left"/>
    </xf>
    <xf numFmtId="0" fontId="0" fillId="3" borderId="7" xfId="0" applyFill="1" applyBorder="1"/>
    <xf numFmtId="10" fontId="0" fillId="0" borderId="8" xfId="0" applyNumberFormat="1" applyBorder="1"/>
    <xf numFmtId="9" fontId="0" fillId="0" borderId="9" xfId="0" applyNumberFormat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10" xfId="0" applyBorder="1"/>
    <xf numFmtId="0" fontId="5" fillId="0" borderId="10" xfId="0" applyFont="1" applyBorder="1" applyAlignment="1">
      <alignment horizontal="left"/>
    </xf>
    <xf numFmtId="0" fontId="0" fillId="2" borderId="2" xfId="0" applyFill="1" applyBorder="1"/>
    <xf numFmtId="10" fontId="0" fillId="2" borderId="1" xfId="0" applyNumberFormat="1" applyFill="1" applyBorder="1"/>
    <xf numFmtId="9" fontId="4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3" borderId="8" xfId="0" applyFill="1" applyBorder="1"/>
    <xf numFmtId="0" fontId="5" fillId="3" borderId="8" xfId="0" applyFont="1" applyFill="1" applyBorder="1" applyAlignment="1">
      <alignment horizontal="left"/>
    </xf>
    <xf numFmtId="0" fontId="5" fillId="0" borderId="10" xfId="0" applyFont="1" applyBorder="1"/>
    <xf numFmtId="0" fontId="5" fillId="3" borderId="7" xfId="0" applyFont="1" applyFill="1" applyBorder="1"/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3" borderId="8" xfId="0" applyFont="1" applyFill="1" applyBorder="1"/>
    <xf numFmtId="0" fontId="5" fillId="0" borderId="8" xfId="0" applyFont="1" applyBorder="1"/>
    <xf numFmtId="9" fontId="6" fillId="2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3423-F879-4707-88B5-249A30643F03}">
  <dimension ref="A1:D32"/>
  <sheetViews>
    <sheetView tabSelected="1" workbookViewId="0">
      <selection activeCell="A10" sqref="A10"/>
    </sheetView>
  </sheetViews>
  <sheetFormatPr defaultRowHeight="14.4" x14ac:dyDescent="0.3"/>
  <cols>
    <col min="1" max="1" width="106.33203125" bestFit="1" customWidth="1"/>
    <col min="2" max="2" width="15" bestFit="1" customWidth="1"/>
    <col min="3" max="3" width="20.6640625" customWidth="1"/>
    <col min="4" max="4" width="19.44140625" bestFit="1" customWidth="1"/>
  </cols>
  <sheetData>
    <row r="1" spans="1:4" ht="26.4" thickBot="1" x14ac:dyDescent="0.55000000000000004">
      <c r="A1" s="45" t="s">
        <v>36</v>
      </c>
      <c r="B1" s="45"/>
      <c r="C1" s="45"/>
      <c r="D1" s="45"/>
    </row>
    <row r="2" spans="1:4" ht="15" thickBot="1" x14ac:dyDescent="0.35">
      <c r="A2" s="40" t="s">
        <v>35</v>
      </c>
      <c r="B2" s="44" t="s">
        <v>34</v>
      </c>
      <c r="C2" s="43" t="s">
        <v>33</v>
      </c>
      <c r="D2" s="43" t="s">
        <v>32</v>
      </c>
    </row>
    <row r="3" spans="1:4" ht="15" thickBot="1" x14ac:dyDescent="0.35">
      <c r="A3" s="40" t="s">
        <v>31</v>
      </c>
      <c r="B3" s="42"/>
      <c r="C3" s="41"/>
      <c r="D3" s="41"/>
    </row>
    <row r="4" spans="1:4" ht="15" thickBot="1" x14ac:dyDescent="0.35">
      <c r="A4" s="40" t="s">
        <v>30</v>
      </c>
      <c r="B4" s="42"/>
      <c r="C4" s="41"/>
      <c r="D4" s="41"/>
    </row>
    <row r="5" spans="1:4" ht="15" thickBot="1" x14ac:dyDescent="0.35">
      <c r="A5" s="40" t="s">
        <v>29</v>
      </c>
      <c r="B5" s="39"/>
      <c r="C5" s="38"/>
      <c r="D5" s="38"/>
    </row>
    <row r="6" spans="1:4" ht="15" thickBot="1" x14ac:dyDescent="0.35">
      <c r="A6" s="26" t="s">
        <v>28</v>
      </c>
      <c r="B6" s="37">
        <f>IF(C9="No", "0%", B7+B8+B9+B10)</f>
        <v>0.2</v>
      </c>
      <c r="C6" s="24"/>
      <c r="D6" s="23"/>
    </row>
    <row r="7" spans="1:4" x14ac:dyDescent="0.3">
      <c r="A7" s="31" t="s">
        <v>27</v>
      </c>
      <c r="B7" s="17" t="str">
        <f>IF(OR(C7="Yes", C7="NA"), "5%", "0%")</f>
        <v>5%</v>
      </c>
      <c r="C7" s="16" t="s">
        <v>6</v>
      </c>
      <c r="D7" s="21"/>
    </row>
    <row r="8" spans="1:4" x14ac:dyDescent="0.3">
      <c r="A8" s="19" t="s">
        <v>26</v>
      </c>
      <c r="B8" s="17">
        <v>0.05</v>
      </c>
      <c r="C8" s="16" t="s">
        <v>6</v>
      </c>
      <c r="D8" s="19"/>
    </row>
    <row r="9" spans="1:4" x14ac:dyDescent="0.3">
      <c r="A9" s="30" t="s">
        <v>25</v>
      </c>
      <c r="B9" s="17" t="str">
        <f>IF(OR(C9="Yes", C9="NA"), "5%", "0%")</f>
        <v>5%</v>
      </c>
      <c r="C9" s="16" t="s">
        <v>6</v>
      </c>
      <c r="D9" s="29"/>
    </row>
    <row r="10" spans="1:4" ht="15" thickBot="1" x14ac:dyDescent="0.35">
      <c r="A10" s="30" t="s">
        <v>24</v>
      </c>
      <c r="B10" s="17" t="str">
        <f>IF(OR(C10="Yes", C10="NA"), "5%", "0%")</f>
        <v>5%</v>
      </c>
      <c r="C10" s="16" t="s">
        <v>6</v>
      </c>
      <c r="D10" s="27"/>
    </row>
    <row r="11" spans="1:4" ht="15" thickBot="1" x14ac:dyDescent="0.35">
      <c r="A11" s="26" t="s">
        <v>23</v>
      </c>
      <c r="B11" s="25">
        <f>IF(C14="No", "0%", B12+B13+B14+B15)</f>
        <v>0.3</v>
      </c>
      <c r="C11" s="24"/>
      <c r="D11" s="23"/>
    </row>
    <row r="12" spans="1:4" x14ac:dyDescent="0.3">
      <c r="A12" s="36" t="s">
        <v>22</v>
      </c>
      <c r="B12" s="17" t="str">
        <f>IF(OR(C12="Yes", C12="NA"), "10%", "0%")</f>
        <v>10%</v>
      </c>
      <c r="C12" s="16" t="s">
        <v>6</v>
      </c>
      <c r="D12" s="19"/>
    </row>
    <row r="13" spans="1:4" x14ac:dyDescent="0.3">
      <c r="A13" s="36" t="s">
        <v>21</v>
      </c>
      <c r="B13" s="17" t="str">
        <f>IF(OR(C13="Yes", C13="NA"), "10%", "0%")</f>
        <v>10%</v>
      </c>
      <c r="C13" s="16" t="s">
        <v>6</v>
      </c>
      <c r="D13" s="19"/>
    </row>
    <row r="14" spans="1:4" x14ac:dyDescent="0.3">
      <c r="A14" s="35" t="s">
        <v>20</v>
      </c>
      <c r="B14" s="17" t="str">
        <f>IF(OR(C14="Yes", C14="NA"), "5%", "0%")</f>
        <v>5%</v>
      </c>
      <c r="C14" s="16" t="s">
        <v>6</v>
      </c>
      <c r="D14" s="29"/>
    </row>
    <row r="15" spans="1:4" ht="15" thickBot="1" x14ac:dyDescent="0.35">
      <c r="A15" s="34" t="s">
        <v>19</v>
      </c>
      <c r="B15" s="17" t="str">
        <f>IF(OR(C15="Yes", C15="NA"), "5%", "0%")</f>
        <v>5%</v>
      </c>
      <c r="C15" s="16" t="s">
        <v>6</v>
      </c>
      <c r="D15" s="27"/>
    </row>
    <row r="16" spans="1:4" ht="15" thickBot="1" x14ac:dyDescent="0.35">
      <c r="A16" s="26" t="s">
        <v>18</v>
      </c>
      <c r="B16" s="25">
        <f>IF(C19="No", "0%", B17+B18+B19)</f>
        <v>0.2</v>
      </c>
      <c r="C16" s="24"/>
      <c r="D16" s="23"/>
    </row>
    <row r="17" spans="1:4" x14ac:dyDescent="0.3">
      <c r="A17" s="33" t="s">
        <v>17</v>
      </c>
      <c r="B17" s="17" t="str">
        <f>IF(OR(C17="Yes", C17="NA"), "5%", "0%")</f>
        <v>5%</v>
      </c>
      <c r="C17" s="16" t="s">
        <v>6</v>
      </c>
      <c r="D17" s="19"/>
    </row>
    <row r="18" spans="1:4" x14ac:dyDescent="0.3">
      <c r="A18" s="33" t="s">
        <v>16</v>
      </c>
      <c r="B18" s="17" t="str">
        <f>IF(OR(C18="Yes", C18="NA"), "10%", "0%")</f>
        <v>10%</v>
      </c>
      <c r="C18" s="16" t="s">
        <v>6</v>
      </c>
      <c r="D18" s="19"/>
    </row>
    <row r="19" spans="1:4" ht="15" thickBot="1" x14ac:dyDescent="0.35">
      <c r="A19" s="18" t="s">
        <v>15</v>
      </c>
      <c r="B19" s="17" t="str">
        <f>IF(OR(C19="Yes", C19="NA"), "5%", "0%")</f>
        <v>5%</v>
      </c>
      <c r="C19" s="16" t="s">
        <v>6</v>
      </c>
      <c r="D19" s="32"/>
    </row>
    <row r="20" spans="1:4" ht="15" thickBot="1" x14ac:dyDescent="0.35">
      <c r="A20" s="26" t="s">
        <v>14</v>
      </c>
      <c r="B20" s="25">
        <f>IF(C22="No", "0%", B21+B22+B23)</f>
        <v>0.2</v>
      </c>
      <c r="C20" s="24"/>
      <c r="D20" s="23"/>
    </row>
    <row r="21" spans="1:4" x14ac:dyDescent="0.3">
      <c r="A21" s="31" t="s">
        <v>13</v>
      </c>
      <c r="B21" s="17" t="str">
        <f>IF(OR(C21="Yes", C21="NA"), "5%", "0%")</f>
        <v>5%</v>
      </c>
      <c r="C21" s="16" t="s">
        <v>6</v>
      </c>
      <c r="D21" s="21"/>
    </row>
    <row r="22" spans="1:4" x14ac:dyDescent="0.3">
      <c r="A22" s="30" t="s">
        <v>12</v>
      </c>
      <c r="B22" s="17" t="str">
        <f>IF(OR(C22="Yes", C22="NA"), "10%", "0%")</f>
        <v>10%</v>
      </c>
      <c r="C22" s="16" t="s">
        <v>6</v>
      </c>
      <c r="D22" s="29"/>
    </row>
    <row r="23" spans="1:4" ht="15" thickBot="1" x14ac:dyDescent="0.35">
      <c r="A23" s="28" t="s">
        <v>11</v>
      </c>
      <c r="B23" s="17" t="str">
        <f>IF(OR(C23="Yes", C23="NA"), "5%", "0%")</f>
        <v>5%</v>
      </c>
      <c r="C23" s="16" t="s">
        <v>6</v>
      </c>
      <c r="D23" s="27"/>
    </row>
    <row r="24" spans="1:4" ht="15" thickBot="1" x14ac:dyDescent="0.35">
      <c r="A24" s="26" t="s">
        <v>10</v>
      </c>
      <c r="B24" s="25">
        <f>IF(C27="No", "0%", B25+B26+B27)</f>
        <v>0.1</v>
      </c>
      <c r="C24" s="24"/>
      <c r="D24" s="23"/>
    </row>
    <row r="25" spans="1:4" x14ac:dyDescent="0.3">
      <c r="A25" s="22" t="s">
        <v>9</v>
      </c>
      <c r="B25" s="17" t="str">
        <f>IF(OR(C25="Yes", C25="NA"), "5%", "0%")</f>
        <v>5%</v>
      </c>
      <c r="C25" s="16" t="s">
        <v>6</v>
      </c>
      <c r="D25" s="21"/>
    </row>
    <row r="26" spans="1:4" x14ac:dyDescent="0.3">
      <c r="A26" s="20" t="s">
        <v>8</v>
      </c>
      <c r="B26" s="17" t="str">
        <f>IF(OR(C26="Yes", C26="NA"), "3%", "0%")</f>
        <v>3%</v>
      </c>
      <c r="C26" s="16" t="s">
        <v>6</v>
      </c>
      <c r="D26" s="19"/>
    </row>
    <row r="27" spans="1:4" ht="15" thickBot="1" x14ac:dyDescent="0.35">
      <c r="A27" s="18" t="s">
        <v>7</v>
      </c>
      <c r="B27" s="17" t="str">
        <f>IF(OR(C27="Yes", C27="NA"), "2%", "0%")</f>
        <v>2%</v>
      </c>
      <c r="C27" s="16" t="s">
        <v>6</v>
      </c>
      <c r="D27" s="15"/>
    </row>
    <row r="28" spans="1:4" ht="15" thickBot="1" x14ac:dyDescent="0.35">
      <c r="A28" s="14" t="s">
        <v>5</v>
      </c>
      <c r="B28" s="13"/>
      <c r="C28" s="12"/>
      <c r="D28" s="11"/>
    </row>
    <row r="29" spans="1:4" ht="15" thickBot="1" x14ac:dyDescent="0.35">
      <c r="A29" s="10" t="s">
        <v>4</v>
      </c>
      <c r="B29" s="9">
        <f>SUM(B6,B11,B16,B20,B24)</f>
        <v>0.99999999999999989</v>
      </c>
      <c r="C29" s="8"/>
      <c r="D29" s="7"/>
    </row>
    <row r="30" spans="1:4" ht="43.8" thickBot="1" x14ac:dyDescent="0.35">
      <c r="A30" s="6" t="s">
        <v>3</v>
      </c>
      <c r="B30" s="5"/>
      <c r="C30" s="4" t="s">
        <v>2</v>
      </c>
      <c r="D30" s="3"/>
    </row>
    <row r="31" spans="1:4" ht="72" x14ac:dyDescent="0.3">
      <c r="A31" s="2" t="s">
        <v>1</v>
      </c>
      <c r="B31" s="1"/>
    </row>
    <row r="32" spans="1:4" x14ac:dyDescent="0.3">
      <c r="A32" t="s">
        <v>0</v>
      </c>
      <c r="B32" s="1"/>
    </row>
  </sheetData>
  <mergeCells count="5">
    <mergeCell ref="A1:D1"/>
    <mergeCell ref="B2:B5"/>
    <mergeCell ref="C2:C5"/>
    <mergeCell ref="D2:D5"/>
    <mergeCell ref="C29:D29"/>
  </mergeCells>
  <dataValidations count="1">
    <dataValidation type="list" allowBlank="1" showInputMessage="1" showErrorMessage="1" sqref="C7:C10 C25:C27 C21:C23 C12:C15 C17:C19" xr:uid="{0FF363FF-F2EF-49AF-B3C3-2BF71B13A3C2}">
      <formula1>$XEZ$8:$XFD$10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Review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Jayanna</dc:creator>
  <cp:lastModifiedBy>Sachin Jayanna</cp:lastModifiedBy>
  <dcterms:created xsi:type="dcterms:W3CDTF">2025-12-11T12:48:00Z</dcterms:created>
  <dcterms:modified xsi:type="dcterms:W3CDTF">2025-12-11T12:48:35Z</dcterms:modified>
</cp:coreProperties>
</file>